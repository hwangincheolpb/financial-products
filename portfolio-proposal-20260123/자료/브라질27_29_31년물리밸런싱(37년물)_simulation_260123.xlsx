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214175\Downloads\"/>
    </mc:Choice>
  </mc:AlternateContent>
  <bookViews>
    <workbookView xWindow="0" yWindow="0" windowWidth="20865" windowHeight="11145"/>
  </bookViews>
  <sheets>
    <sheet name="리밸런싱시뮬레이션" sheetId="5" r:id="rId1"/>
    <sheet name="Sheet1" sheetId="6" r:id="rId2"/>
  </sheets>
  <definedNames>
    <definedName name="_xlnm.Print_Area" localSheetId="0">리밸런싱시뮬레이션!$A$1:$W$55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6" i="5" l="1"/>
  <c r="I40" i="5" l="1"/>
  <c r="H40" i="5"/>
  <c r="G40" i="5"/>
  <c r="D42" i="5" l="1"/>
  <c r="D44" i="5" s="1"/>
  <c r="D45" i="5" s="1"/>
  <c r="Q44" i="5" s="1"/>
  <c r="R42" i="5" l="1"/>
  <c r="H26" i="5"/>
  <c r="G26" i="5" l="1"/>
  <c r="D12" i="5"/>
  <c r="R12" i="5" s="1"/>
  <c r="D14" i="5" l="1"/>
  <c r="D28" i="5"/>
  <c r="R28" i="5" s="1"/>
  <c r="D30" i="5" l="1"/>
  <c r="D31" i="5" s="1"/>
  <c r="D32" i="5" s="1"/>
  <c r="L44" i="5" l="1"/>
  <c r="K44" i="5"/>
  <c r="L30" i="5"/>
  <c r="K30" i="5"/>
  <c r="E30" i="5"/>
  <c r="E44" i="5"/>
  <c r="M44" i="5"/>
  <c r="N44" i="5"/>
  <c r="O44" i="5"/>
  <c r="P44" i="5"/>
  <c r="J44" i="5"/>
  <c r="I44" i="5"/>
  <c r="H44" i="5"/>
  <c r="G44" i="5"/>
  <c r="F44" i="5"/>
  <c r="D15" i="5"/>
  <c r="P30" i="5"/>
  <c r="J30" i="5"/>
  <c r="O30" i="5"/>
  <c r="Q30" i="5"/>
  <c r="F30" i="5"/>
  <c r="G30" i="5"/>
  <c r="H30" i="5"/>
  <c r="I30" i="5"/>
  <c r="M30" i="5"/>
  <c r="N30" i="5"/>
  <c r="K14" i="5" l="1"/>
  <c r="L14" i="5"/>
  <c r="E14" i="5"/>
  <c r="R44" i="5"/>
  <c r="R47" i="5" s="1"/>
  <c r="R30" i="5"/>
  <c r="R33" i="5" s="1"/>
  <c r="N14" i="5"/>
  <c r="O14" i="5"/>
  <c r="P14" i="5"/>
  <c r="I14" i="5"/>
  <c r="J14" i="5"/>
  <c r="M14" i="5"/>
  <c r="Q14" i="5"/>
  <c r="F14" i="5"/>
  <c r="G14" i="5"/>
  <c r="H14" i="5"/>
  <c r="R14" i="5" l="1"/>
  <c r="R17" i="5" s="1"/>
</calcChain>
</file>

<file path=xl/sharedStrings.xml><?xml version="1.0" encoding="utf-8"?>
<sst xmlns="http://schemas.openxmlformats.org/spreadsheetml/2006/main" count="153" uniqueCount="55">
  <si>
    <t>이자</t>
    <phoneticPr fontId="2" type="noConversion"/>
  </si>
  <si>
    <t>원금</t>
    <phoneticPr fontId="2" type="noConversion"/>
  </si>
  <si>
    <t>2026년</t>
    <phoneticPr fontId="2" type="noConversion"/>
  </si>
  <si>
    <t>Today</t>
    <phoneticPr fontId="2" type="noConversion"/>
  </si>
  <si>
    <t>2027년</t>
    <phoneticPr fontId="2" type="noConversion"/>
  </si>
  <si>
    <t>브라질 교체 매매 시뮬레이션</t>
    <phoneticPr fontId="2" type="noConversion"/>
  </si>
  <si>
    <t>매도금액(BRL)</t>
    <phoneticPr fontId="2" type="noConversion"/>
  </si>
  <si>
    <t>매수가능금액(BRL)</t>
    <phoneticPr fontId="2" type="noConversion"/>
  </si>
  <si>
    <t>보유수량만 
입력하시면됩니다</t>
    <phoneticPr fontId="2" type="noConversion"/>
  </si>
  <si>
    <t>수수료</t>
    <phoneticPr fontId="2" type="noConversion"/>
  </si>
  <si>
    <t>보유수량</t>
    <phoneticPr fontId="2" type="noConversion"/>
  </si>
  <si>
    <t>수량</t>
    <phoneticPr fontId="2" type="noConversion"/>
  </si>
  <si>
    <t>매도금리</t>
    <phoneticPr fontId="2" type="noConversion"/>
  </si>
  <si>
    <t>매도단가</t>
    <phoneticPr fontId="2" type="noConversion"/>
  </si>
  <si>
    <t>2028년</t>
    <phoneticPr fontId="2" type="noConversion"/>
  </si>
  <si>
    <t>2029년</t>
    <phoneticPr fontId="2" type="noConversion"/>
  </si>
  <si>
    <t>2030년</t>
    <phoneticPr fontId="2" type="noConversion"/>
  </si>
  <si>
    <t>매수금리</t>
    <phoneticPr fontId="2" type="noConversion"/>
  </si>
  <si>
    <t>매수단가</t>
    <phoneticPr fontId="2" type="noConversion"/>
  </si>
  <si>
    <t>헤알화 현금흐름</t>
    <phoneticPr fontId="2" type="noConversion"/>
  </si>
  <si>
    <t>2031년</t>
    <phoneticPr fontId="2" type="noConversion"/>
  </si>
  <si>
    <t xml:space="preserve">* 수수료율은 직접 변경하여 사용하실 수 있습니다. </t>
    <phoneticPr fontId="2" type="noConversion"/>
  </si>
  <si>
    <t>2035년 매수시</t>
    <phoneticPr fontId="2" type="noConversion"/>
  </si>
  <si>
    <t>35년물</t>
    <phoneticPr fontId="2" type="noConversion"/>
  </si>
  <si>
    <t>29년물</t>
    <phoneticPr fontId="2" type="noConversion"/>
  </si>
  <si>
    <t>2027년물 매도가격</t>
    <phoneticPr fontId="2" type="noConversion"/>
  </si>
  <si>
    <t>27년물</t>
    <phoneticPr fontId="2" type="noConversion"/>
  </si>
  <si>
    <t>2029년물 매도가격</t>
    <phoneticPr fontId="2" type="noConversion"/>
  </si>
  <si>
    <t>Today</t>
    <phoneticPr fontId="2" type="noConversion"/>
  </si>
  <si>
    <t>2031년물 매도가격</t>
    <phoneticPr fontId="2" type="noConversion"/>
  </si>
  <si>
    <t>31년물</t>
    <phoneticPr fontId="2" type="noConversion"/>
  </si>
  <si>
    <r>
      <t xml:space="preserve">* 27년물 매도가격은 금일 확정이며 </t>
    </r>
    <r>
      <rPr>
        <u/>
        <sz val="10"/>
        <color rgb="FFFF0000"/>
        <rFont val="원신한 Light"/>
        <family val="3"/>
        <charset val="129"/>
      </rPr>
      <t>35년물 매수가격은 매도신청일 T+2확정</t>
    </r>
    <r>
      <rPr>
        <sz val="10"/>
        <color theme="1"/>
        <rFont val="원신한 Light"/>
        <family val="3"/>
        <charset val="129"/>
      </rPr>
      <t xml:space="preserve">되므로 시장 금리변동에 따라 수량이 변동될 수 있습니다. </t>
    </r>
    <phoneticPr fontId="2" type="noConversion"/>
  </si>
  <si>
    <r>
      <t xml:space="preserve">* 29년물 매도가격은 금일 확정이며 </t>
    </r>
    <r>
      <rPr>
        <u/>
        <sz val="10"/>
        <color rgb="FFFF0000"/>
        <rFont val="원신한 Light"/>
        <family val="3"/>
        <charset val="129"/>
      </rPr>
      <t>35년물 매수가격은 매도신청일 T+2확정</t>
    </r>
    <r>
      <rPr>
        <sz val="10"/>
        <color theme="1"/>
        <rFont val="원신한 Light"/>
        <family val="3"/>
        <charset val="129"/>
      </rPr>
      <t xml:space="preserve">되므로 시장 금리변동에 따라 수량이 변동될 수 있습니다. </t>
    </r>
    <phoneticPr fontId="2" type="noConversion"/>
  </si>
  <si>
    <r>
      <t xml:space="preserve">* 31년물 매도가격은 금일 확정이며 </t>
    </r>
    <r>
      <rPr>
        <u/>
        <sz val="10"/>
        <color rgb="FFFF0000"/>
        <rFont val="원신한 Light"/>
        <family val="3"/>
        <charset val="129"/>
      </rPr>
      <t>35년물 매수가격은 매도신청일 T+2확정</t>
    </r>
    <r>
      <rPr>
        <sz val="10"/>
        <color theme="1"/>
        <rFont val="원신한 Light"/>
        <family val="3"/>
        <charset val="129"/>
      </rPr>
      <t xml:space="preserve">되므로 시장 금리변동에 따라 수량이 변동될 수 있습니다. </t>
    </r>
    <phoneticPr fontId="2" type="noConversion"/>
  </si>
  <si>
    <t>2037년물 예상가격</t>
    <phoneticPr fontId="2" type="noConversion"/>
  </si>
  <si>
    <t>2037년물 예상가격</t>
    <phoneticPr fontId="2" type="noConversion"/>
  </si>
  <si>
    <t>2037년</t>
    <phoneticPr fontId="2" type="noConversion"/>
  </si>
  <si>
    <t>2036년</t>
    <phoneticPr fontId="2" type="noConversion"/>
  </si>
  <si>
    <t>2032년</t>
  </si>
  <si>
    <t>2033년</t>
  </si>
  <si>
    <t>2034년</t>
    <phoneticPr fontId="2" type="noConversion"/>
  </si>
  <si>
    <t>2035년</t>
    <phoneticPr fontId="2" type="noConversion"/>
  </si>
  <si>
    <t>중개매수</t>
    <phoneticPr fontId="2" type="noConversion"/>
  </si>
  <si>
    <t>중개매도</t>
    <phoneticPr fontId="2" type="noConversion"/>
  </si>
  <si>
    <t xml:space="preserve">해외채권 중개안내 &gt;&gt; 중간에 매수/매도 금리 넣으면 됨. </t>
    <phoneticPr fontId="2" type="noConversion"/>
  </si>
  <si>
    <t>매수</t>
  </si>
  <si>
    <t>금리</t>
  </si>
  <si>
    <t>더티</t>
  </si>
  <si>
    <t>37년</t>
  </si>
  <si>
    <t>35년</t>
  </si>
  <si>
    <t>33년</t>
  </si>
  <si>
    <t>31년</t>
  </si>
  <si>
    <t>29년</t>
  </si>
  <si>
    <t>27년</t>
  </si>
  <si>
    <t>매도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</si>
</sst>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_(* #,##0_);_(* \(#,##0\);_(* &quot;-&quot;_);_(@_)"/>
    <numFmt numFmtId="177" formatCode="0.000%"/>
    <numFmt numFmtId="178" formatCode="0.000000"/>
    <numFmt numFmtId="179" formatCode="#,##0.00000"/>
    <numFmt numFmtId="180" formatCode="mm&quot;월&quot;\ dd&quot;일&quot;"/>
  </numFmts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u/>
      <sz val="16"/>
      <color theme="1"/>
      <name val="원신한 Light"/>
      <family val="3"/>
      <charset val="129"/>
    </font>
    <font>
      <sz val="10"/>
      <color theme="1"/>
      <name val="원신한 Light"/>
      <family val="3"/>
      <charset val="129"/>
    </font>
    <font>
      <b/>
      <u/>
      <sz val="12"/>
      <color theme="1"/>
      <name val="원신한 Light"/>
      <family val="3"/>
      <charset val="129"/>
    </font>
    <font>
      <b/>
      <sz val="12"/>
      <color theme="1"/>
      <name val="원신한 Light"/>
      <family val="3"/>
      <charset val="129"/>
    </font>
    <font>
      <b/>
      <sz val="10"/>
      <color theme="1"/>
      <name val="원신한 Light"/>
      <family val="3"/>
      <charset val="129"/>
    </font>
    <font>
      <sz val="9"/>
      <color theme="1"/>
      <name val="원신한 Light"/>
      <family val="3"/>
      <charset val="129"/>
    </font>
    <font>
      <b/>
      <u/>
      <sz val="12"/>
      <color rgb="FFFF0000"/>
      <name val="원신한 Light"/>
      <family val="3"/>
      <charset val="129"/>
    </font>
    <font>
      <b/>
      <u/>
      <sz val="10"/>
      <color theme="1"/>
      <name val="원신한 Light"/>
      <family val="3"/>
      <charset val="129"/>
    </font>
    <font>
      <u/>
      <sz val="10"/>
      <color rgb="FFFF0000"/>
      <name val="원신한 Light"/>
      <family val="3"/>
      <charset val="129"/>
    </font>
    <font>
      <sz val="12"/>
      <color theme="1"/>
      <name val="원신한 Light"/>
      <family val="3"/>
      <charset val="129"/>
    </font>
    <font>
      <b/>
      <sz val="10"/>
      <name val="원신한 Light"/>
      <family val="3"/>
      <charset val="129"/>
    </font>
    <font>
      <b/>
      <u/>
      <sz val="24"/>
      <color theme="1"/>
      <name val="원신한 Light"/>
      <family val="3"/>
      <charset val="129"/>
    </font>
    <font>
      <b/>
      <sz val="11"/>
      <color theme="1"/>
      <name val="원신한 Light"/>
      <family val="3"/>
      <charset val="129"/>
    </font>
    <font>
      <b/>
      <sz val="16"/>
      <color theme="0"/>
      <name val="원신한 Light"/>
      <family val="3"/>
      <charset val="129"/>
    </font>
    <font>
      <sz val="10"/>
      <color rgb="FFFF0000"/>
      <name val="원신한 Light"/>
      <family val="3"/>
      <charset val="129"/>
    </font>
    <font>
      <b/>
      <sz val="10"/>
      <color rgb="FFFF0000"/>
      <name val="원신한 Light"/>
      <family val="3"/>
      <charset val="129"/>
    </font>
    <font>
      <b/>
      <sz val="10"/>
      <color theme="0" tint="-0.499984740745262"/>
      <name val="원신한 Light"/>
      <family val="3"/>
      <charset val="129"/>
    </font>
    <font>
      <b/>
      <sz val="11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AEEF3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66">
    <xf numFmtId="0" fontId="0" fillId="0" borderId="0" xfId="0">
      <alignment vertical="center"/>
    </xf>
    <xf numFmtId="176" fontId="7" fillId="3" borderId="1" xfId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176" fontId="4" fillId="3" borderId="1" xfId="1" applyFont="1" applyFill="1" applyBorder="1" applyAlignment="1">
      <alignment horizontal="center" vertical="center"/>
    </xf>
    <xf numFmtId="176" fontId="4" fillId="3" borderId="0" xfId="1" applyFont="1" applyFill="1" applyAlignment="1">
      <alignment horizontal="center" vertical="center"/>
    </xf>
    <xf numFmtId="176" fontId="8" fillId="3" borderId="0" xfId="1" applyFont="1" applyFill="1" applyBorder="1" applyAlignment="1">
      <alignment horizontal="right" vertical="center"/>
    </xf>
    <xf numFmtId="9" fontId="7" fillId="3" borderId="0" xfId="2" applyFont="1" applyFill="1" applyBorder="1" applyAlignment="1">
      <alignment horizontal="center" vertical="center"/>
    </xf>
    <xf numFmtId="176" fontId="7" fillId="3" borderId="0" xfId="1" applyFont="1" applyFill="1" applyBorder="1" applyAlignment="1">
      <alignment horizontal="center" vertical="center"/>
    </xf>
    <xf numFmtId="0" fontId="7" fillId="3" borderId="0" xfId="0" applyFont="1" applyFill="1" applyBorder="1" applyAlignment="1">
      <alignment horizontal="center" vertical="center"/>
    </xf>
    <xf numFmtId="176" fontId="4" fillId="3" borderId="0" xfId="1" applyFont="1" applyFill="1" applyBorder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176" fontId="4" fillId="3" borderId="3" xfId="1" applyFont="1" applyFill="1" applyBorder="1" applyAlignment="1">
      <alignment vertical="center"/>
    </xf>
    <xf numFmtId="0" fontId="10" fillId="2" borderId="1" xfId="0" applyFont="1" applyFill="1" applyBorder="1" applyAlignment="1">
      <alignment horizontal="center" vertical="center" wrapText="1"/>
    </xf>
    <xf numFmtId="0" fontId="6" fillId="3" borderId="0" xfId="0" applyFont="1" applyFill="1" applyBorder="1" applyAlignment="1">
      <alignment vertical="center"/>
    </xf>
    <xf numFmtId="0" fontId="6" fillId="3" borderId="8" xfId="0" applyFont="1" applyFill="1" applyBorder="1" applyAlignment="1">
      <alignment vertical="center"/>
    </xf>
    <xf numFmtId="176" fontId="4" fillId="3" borderId="0" xfId="1" applyFont="1" applyFill="1" applyBorder="1" applyAlignment="1">
      <alignment vertical="center"/>
    </xf>
    <xf numFmtId="0" fontId="1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vertical="center"/>
    </xf>
    <xf numFmtId="176" fontId="13" fillId="2" borderId="5" xfId="1" applyFont="1" applyFill="1" applyBorder="1" applyAlignment="1">
      <alignment horizontal="center" vertical="center"/>
    </xf>
    <xf numFmtId="176" fontId="15" fillId="2" borderId="1" xfId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16" fillId="4" borderId="0" xfId="0" applyFont="1" applyFill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176" fontId="18" fillId="2" borderId="1" xfId="1" applyFont="1" applyFill="1" applyBorder="1" applyAlignment="1">
      <alignment horizontal="center" vertical="center"/>
    </xf>
    <xf numFmtId="0" fontId="19" fillId="5" borderId="9" xfId="0" applyFont="1" applyFill="1" applyBorder="1" applyAlignment="1">
      <alignment horizontal="center" vertical="center"/>
    </xf>
    <xf numFmtId="0" fontId="19" fillId="5" borderId="10" xfId="0" applyFont="1" applyFill="1" applyBorder="1" applyAlignment="1">
      <alignment horizontal="center" vertical="center"/>
    </xf>
    <xf numFmtId="177" fontId="19" fillId="5" borderId="11" xfId="0" applyNumberFormat="1" applyFont="1" applyFill="1" applyBorder="1" applyAlignment="1">
      <alignment horizontal="center" vertical="center"/>
    </xf>
    <xf numFmtId="0" fontId="18" fillId="2" borderId="13" xfId="0" applyFont="1" applyFill="1" applyBorder="1" applyAlignment="1">
      <alignment horizontal="center" vertical="center"/>
    </xf>
    <xf numFmtId="10" fontId="18" fillId="2" borderId="14" xfId="0" applyNumberFormat="1" applyFont="1" applyFill="1" applyBorder="1" applyAlignment="1">
      <alignment horizontal="center" vertical="center"/>
    </xf>
    <xf numFmtId="176" fontId="13" fillId="3" borderId="0" xfId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16" fillId="0" borderId="0" xfId="0" applyFont="1" applyFill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left" vertical="center"/>
    </xf>
    <xf numFmtId="178" fontId="19" fillId="5" borderId="12" xfId="0" applyNumberFormat="1" applyFont="1" applyFill="1" applyBorder="1" applyAlignment="1">
      <alignment horizontal="center" vertical="center"/>
    </xf>
    <xf numFmtId="179" fontId="19" fillId="5" borderId="12" xfId="0" applyNumberFormat="1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20" fillId="6" borderId="1" xfId="0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10" fontId="21" fillId="7" borderId="15" xfId="0" applyNumberFormat="1" applyFont="1" applyFill="1" applyBorder="1" applyAlignment="1">
      <alignment horizontal="right" vertical="center"/>
    </xf>
    <xf numFmtId="0" fontId="21" fillId="0" borderId="15" xfId="0" applyFont="1" applyBorder="1" applyAlignment="1">
      <alignment horizontal="right" vertical="center"/>
    </xf>
    <xf numFmtId="0" fontId="21" fillId="0" borderId="15" xfId="0" applyFont="1" applyBorder="1">
      <alignment vertical="center"/>
    </xf>
    <xf numFmtId="0" fontId="20" fillId="8" borderId="16" xfId="0" applyFont="1" applyFill="1" applyBorder="1" applyAlignment="1">
      <alignment horizontal="center" vertical="center"/>
    </xf>
    <xf numFmtId="0" fontId="21" fillId="8" borderId="15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1" fillId="7" borderId="15" xfId="0" applyFont="1" applyFill="1" applyBorder="1">
      <alignment vertical="center"/>
    </xf>
    <xf numFmtId="0" fontId="0" fillId="0" borderId="0" xfId="0" applyAlignment="1">
      <alignment horizontal="center" vertical="center"/>
    </xf>
    <xf numFmtId="180" fontId="0" fillId="0" borderId="0" xfId="0" applyNumberFormat="1">
      <alignment vertical="center"/>
    </xf>
    <xf numFmtId="0" fontId="14" fillId="3" borderId="0" xfId="0" applyFont="1" applyFill="1" applyAlignment="1">
      <alignment horizontal="center" vertical="center"/>
    </xf>
    <xf numFmtId="14" fontId="6" fillId="3" borderId="0" xfId="0" applyNumberFormat="1" applyFont="1" applyFill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9" fillId="3" borderId="0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9" fontId="4" fillId="3" borderId="0" xfId="2" applyFont="1" applyFill="1" applyAlignment="1">
      <alignment horizontal="center" vertical="center"/>
    </xf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FF3300"/>
      <color rgb="FFFF82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B1:W48"/>
  <sheetViews>
    <sheetView tabSelected="1" view="pageBreakPreview" topLeftCell="A5" zoomScale="85" zoomScaleNormal="70" zoomScaleSheetLayoutView="85" workbookViewId="0">
      <selection activeCell="J22" sqref="J22"/>
    </sheetView>
  </sheetViews>
  <sheetFormatPr defaultColWidth="14.25" defaultRowHeight="16.5" x14ac:dyDescent="0.3"/>
  <cols>
    <col min="1" max="1" width="6.25" style="3" customWidth="1"/>
    <col min="2" max="2" width="9.25" style="3" customWidth="1"/>
    <col min="3" max="3" width="21.75" style="3" bestFit="1" customWidth="1"/>
    <col min="4" max="4" width="13.375" style="3" customWidth="1"/>
    <col min="5" max="5" width="13.5" style="3" customWidth="1"/>
    <col min="6" max="6" width="10.875" style="3" customWidth="1"/>
    <col min="7" max="7" width="11.5" style="3" customWidth="1"/>
    <col min="8" max="8" width="14.375" style="3" customWidth="1"/>
    <col min="9" max="9" width="10.5" style="3" customWidth="1"/>
    <col min="10" max="12" width="11.25" style="3" customWidth="1"/>
    <col min="13" max="13" width="11" style="3" customWidth="1"/>
    <col min="14" max="15" width="12" style="3" customWidth="1"/>
    <col min="16" max="16" width="11.75" style="3" customWidth="1"/>
    <col min="17" max="17" width="11" style="3" bestFit="1" customWidth="1"/>
    <col min="18" max="18" width="13.875" style="3" customWidth="1"/>
    <col min="19" max="19" width="14.375" style="3" customWidth="1"/>
    <col min="20" max="20" width="18.5" style="3" customWidth="1"/>
    <col min="21" max="21" width="19.625" style="3" bestFit="1" customWidth="1"/>
    <col min="22" max="16384" width="14.25" style="3"/>
  </cols>
  <sheetData>
    <row r="1" spans="2:22" ht="22.5" customHeight="1" x14ac:dyDescent="0.3">
      <c r="T1" s="20"/>
      <c r="U1" s="20"/>
    </row>
    <row r="2" spans="2:22" ht="87.75" customHeight="1" x14ac:dyDescent="0.3">
      <c r="B2" s="57" t="s">
        <v>5</v>
      </c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20"/>
      <c r="U2" s="20"/>
    </row>
    <row r="3" spans="2:22" ht="21.75" customHeight="1" x14ac:dyDescent="0.3">
      <c r="B3" s="4"/>
      <c r="C3" s="24" t="s">
        <v>22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S3" s="58"/>
      <c r="T3" s="58"/>
      <c r="U3" s="4"/>
    </row>
    <row r="4" spans="2:22" ht="19.5" customHeight="1" x14ac:dyDescent="0.3">
      <c r="B4" s="13"/>
      <c r="D4" s="7"/>
      <c r="E4" s="7"/>
      <c r="F4" s="7"/>
      <c r="G4" s="7"/>
      <c r="H4" s="7"/>
      <c r="I4" s="7"/>
      <c r="J4" s="7"/>
      <c r="K4" s="7"/>
      <c r="L4" s="7"/>
      <c r="M4" s="8"/>
      <c r="N4" s="8"/>
      <c r="O4" s="8"/>
      <c r="P4" s="8"/>
      <c r="Q4" s="8"/>
      <c r="R4" s="8"/>
      <c r="S4" s="8"/>
      <c r="T4" s="9"/>
      <c r="U4" s="10"/>
    </row>
    <row r="5" spans="2:22" ht="19.5" customHeight="1" x14ac:dyDescent="0.3">
      <c r="B5" s="13"/>
      <c r="D5" s="7"/>
      <c r="E5" s="7"/>
      <c r="F5" s="7"/>
      <c r="G5" s="7"/>
      <c r="H5" s="7"/>
      <c r="I5" s="7"/>
      <c r="J5" s="7"/>
      <c r="K5" s="7"/>
      <c r="L5" s="7"/>
      <c r="M5" s="8"/>
      <c r="N5" s="8"/>
      <c r="O5" s="8"/>
      <c r="P5" s="8"/>
      <c r="Q5" s="8"/>
      <c r="R5" s="8"/>
      <c r="S5" s="8"/>
      <c r="T5" s="9"/>
      <c r="U5" s="10"/>
    </row>
    <row r="6" spans="2:22" ht="21.75" customHeight="1" x14ac:dyDescent="0.3">
      <c r="B6" s="4"/>
      <c r="C6" s="37"/>
      <c r="D6" s="4"/>
      <c r="E6" s="4"/>
      <c r="F6" s="4"/>
      <c r="G6" s="4"/>
      <c r="H6" s="4" t="s">
        <v>43</v>
      </c>
      <c r="I6" s="4" t="s">
        <v>42</v>
      </c>
      <c r="J6" s="4"/>
      <c r="K6" s="44" t="s">
        <v>44</v>
      </c>
      <c r="L6" s="4"/>
      <c r="M6" s="4"/>
      <c r="N6" s="4"/>
      <c r="O6" s="4"/>
      <c r="P6" s="4"/>
      <c r="Q6" s="58"/>
      <c r="R6" s="58"/>
      <c r="S6" s="4"/>
      <c r="T6" s="4"/>
      <c r="U6" s="4"/>
    </row>
    <row r="7" spans="2:22" ht="21" customHeight="1" x14ac:dyDescent="0.3">
      <c r="B7" s="16"/>
      <c r="C7" s="16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S7" s="4"/>
      <c r="T7" s="19"/>
    </row>
    <row r="8" spans="2:22" ht="20.25" thickBot="1" x14ac:dyDescent="0.35">
      <c r="B8" s="16"/>
      <c r="C8" s="16"/>
      <c r="D8" s="61" t="s">
        <v>25</v>
      </c>
      <c r="E8" s="61"/>
      <c r="F8" s="5"/>
      <c r="G8" s="62" t="s">
        <v>34</v>
      </c>
      <c r="H8" s="62"/>
      <c r="I8" s="61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</row>
    <row r="9" spans="2:22" ht="21" customHeight="1" x14ac:dyDescent="0.3">
      <c r="B9" s="16"/>
      <c r="C9" s="16"/>
      <c r="D9" s="27" t="s">
        <v>12</v>
      </c>
      <c r="E9" s="28" t="s">
        <v>13</v>
      </c>
      <c r="G9" s="27" t="s">
        <v>17</v>
      </c>
      <c r="H9" s="28" t="s">
        <v>18</v>
      </c>
      <c r="I9" s="30" t="s">
        <v>9</v>
      </c>
    </row>
    <row r="10" spans="2:22" ht="21" customHeight="1" thickBot="1" x14ac:dyDescent="0.35">
      <c r="B10" s="17"/>
      <c r="C10" s="17"/>
      <c r="D10" s="29">
        <v>0.13669999999999999</v>
      </c>
      <c r="E10" s="41">
        <v>977.38626499999998</v>
      </c>
      <c r="G10" s="29">
        <v>0.13619999999999999</v>
      </c>
      <c r="H10" s="40">
        <v>804.43366700000001</v>
      </c>
      <c r="I10" s="31">
        <v>1.6400000000000001E-2</v>
      </c>
    </row>
    <row r="11" spans="2:22" ht="33" x14ac:dyDescent="0.3">
      <c r="B11" s="22" t="s">
        <v>10</v>
      </c>
      <c r="C11" s="15" t="s">
        <v>8</v>
      </c>
      <c r="D11" s="34" t="s">
        <v>28</v>
      </c>
      <c r="E11" s="23" t="s">
        <v>2</v>
      </c>
      <c r="F11" s="23" t="s">
        <v>4</v>
      </c>
      <c r="G11" s="23" t="s">
        <v>14</v>
      </c>
      <c r="H11" s="23" t="s">
        <v>15</v>
      </c>
      <c r="I11" s="23" t="s">
        <v>16</v>
      </c>
      <c r="J11" s="33" t="s">
        <v>20</v>
      </c>
      <c r="K11" s="43" t="s">
        <v>38</v>
      </c>
      <c r="L11" s="43" t="s">
        <v>39</v>
      </c>
      <c r="M11" s="33" t="s">
        <v>40</v>
      </c>
      <c r="N11" s="35" t="s">
        <v>41</v>
      </c>
      <c r="O11" s="35" t="s">
        <v>37</v>
      </c>
      <c r="P11" s="63" t="s">
        <v>36</v>
      </c>
      <c r="Q11" s="64"/>
      <c r="R11" s="23" t="s">
        <v>19</v>
      </c>
      <c r="V11" s="11"/>
    </row>
    <row r="12" spans="2:22" ht="19.5" customHeight="1" x14ac:dyDescent="0.3">
      <c r="B12" s="59" t="s">
        <v>26</v>
      </c>
      <c r="C12" s="2" t="s">
        <v>6</v>
      </c>
      <c r="D12" s="6">
        <f>ROUNDDOWN(D13*E10/1000,2)</f>
        <v>97738.62</v>
      </c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">
        <f>SUM(D12:Q12)</f>
        <v>97738.62</v>
      </c>
      <c r="V12" s="10"/>
    </row>
    <row r="13" spans="2:22" ht="19.5" customHeight="1" x14ac:dyDescent="0.3">
      <c r="B13" s="60"/>
      <c r="C13" s="25" t="s">
        <v>11</v>
      </c>
      <c r="D13" s="26">
        <v>100000</v>
      </c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V13" s="18"/>
    </row>
    <row r="14" spans="2:22" ht="19.5" customHeight="1" x14ac:dyDescent="0.3">
      <c r="B14" s="59" t="s">
        <v>23</v>
      </c>
      <c r="C14" s="2" t="s">
        <v>7</v>
      </c>
      <c r="D14" s="6">
        <f>D12</f>
        <v>97738.62</v>
      </c>
      <c r="E14" s="6">
        <f>ROUNDDOWN($D$15*ROUND((1+10%)^(1/2)-1,8),2)*2/2</f>
        <v>5808.25</v>
      </c>
      <c r="F14" s="6">
        <f t="shared" ref="F14:M14" si="0">ROUNDDOWN($D$15*ROUND((1+10%)^(1/2)-1,8),2)*2</f>
        <v>11616.5</v>
      </c>
      <c r="G14" s="6">
        <f t="shared" si="0"/>
        <v>11616.5</v>
      </c>
      <c r="H14" s="6">
        <f t="shared" si="0"/>
        <v>11616.5</v>
      </c>
      <c r="I14" s="6">
        <f t="shared" si="0"/>
        <v>11616.5</v>
      </c>
      <c r="J14" s="6">
        <f t="shared" si="0"/>
        <v>11616.5</v>
      </c>
      <c r="K14" s="6">
        <f t="shared" si="0"/>
        <v>11616.5</v>
      </c>
      <c r="L14" s="6">
        <f t="shared" si="0"/>
        <v>11616.5</v>
      </c>
      <c r="M14" s="6">
        <f t="shared" si="0"/>
        <v>11616.5</v>
      </c>
      <c r="N14" s="6">
        <f>ROUNDDOWN($D$15*ROUND((1+10%)^(1/2)-1,8),2)*2</f>
        <v>11616.5</v>
      </c>
      <c r="O14" s="6">
        <f>ROUNDDOWN($D$15*ROUND((1+10%)^(1/2)-1,8),2)*2</f>
        <v>11616.5</v>
      </c>
      <c r="P14" s="6">
        <f>ROUNDDOWN($D$15*ROUND((1+10%)^(1/2)-1,8),2)</f>
        <v>5808.25</v>
      </c>
      <c r="Q14" s="6">
        <f>D15</f>
        <v>119000</v>
      </c>
      <c r="R14" s="1">
        <f>SUM(E14:Q14)</f>
        <v>246781.5</v>
      </c>
      <c r="V14" s="10"/>
    </row>
    <row r="15" spans="2:22" ht="19.5" customHeight="1" x14ac:dyDescent="0.3">
      <c r="B15" s="60"/>
      <c r="C15" s="2" t="s">
        <v>11</v>
      </c>
      <c r="D15" s="1">
        <f>ROUNDDOWN(D14/(H10*(1+I10))*1000,-3)</f>
        <v>119000</v>
      </c>
      <c r="E15" s="6" t="s">
        <v>0</v>
      </c>
      <c r="F15" s="6" t="s">
        <v>0</v>
      </c>
      <c r="G15" s="6" t="s">
        <v>0</v>
      </c>
      <c r="H15" s="6" t="s">
        <v>0</v>
      </c>
      <c r="I15" s="6" t="s">
        <v>0</v>
      </c>
      <c r="J15" s="6" t="s">
        <v>0</v>
      </c>
      <c r="K15" s="6" t="s">
        <v>0</v>
      </c>
      <c r="L15" s="6" t="s">
        <v>0</v>
      </c>
      <c r="M15" s="6" t="s">
        <v>0</v>
      </c>
      <c r="N15" s="6" t="s">
        <v>0</v>
      </c>
      <c r="O15" s="6" t="s">
        <v>0</v>
      </c>
      <c r="P15" s="6" t="s">
        <v>0</v>
      </c>
      <c r="Q15" s="6" t="s">
        <v>1</v>
      </c>
      <c r="R15" s="6"/>
      <c r="V15" s="12"/>
    </row>
    <row r="16" spans="2:22" ht="19.5" customHeight="1" thickBot="1" x14ac:dyDescent="0.35">
      <c r="D16" s="65">
        <f>D15/D13</f>
        <v>1.19</v>
      </c>
      <c r="E16" s="7"/>
      <c r="F16" s="7"/>
      <c r="G16" s="7"/>
      <c r="H16" s="7"/>
      <c r="I16" s="7"/>
      <c r="J16" s="7"/>
      <c r="K16" s="7"/>
      <c r="L16" s="7"/>
    </row>
    <row r="17" spans="2:23" ht="19.5" customHeight="1" thickBot="1" x14ac:dyDescent="0.35">
      <c r="B17" s="13" t="s">
        <v>31</v>
      </c>
      <c r="D17" s="7"/>
      <c r="E17" s="7"/>
      <c r="F17" s="7"/>
      <c r="G17" s="7"/>
      <c r="H17" s="7"/>
      <c r="I17" s="7"/>
      <c r="J17" s="7"/>
      <c r="K17" s="7"/>
      <c r="L17" s="7"/>
      <c r="M17" s="8"/>
      <c r="N17" s="8"/>
      <c r="O17" s="8"/>
      <c r="P17" s="8"/>
      <c r="Q17" s="32"/>
      <c r="R17" s="21">
        <f>SUM(R14:R15)</f>
        <v>246781.5</v>
      </c>
      <c r="W17" s="10"/>
    </row>
    <row r="18" spans="2:23" s="38" customFormat="1" ht="19.5" customHeight="1" x14ac:dyDescent="0.3">
      <c r="B18" s="13" t="s">
        <v>21</v>
      </c>
      <c r="D18" s="12"/>
      <c r="E18" s="12"/>
      <c r="F18" s="12"/>
      <c r="G18" s="12"/>
      <c r="H18" s="12"/>
      <c r="I18" s="12"/>
      <c r="J18" s="12"/>
      <c r="K18" s="12"/>
      <c r="L18" s="12"/>
      <c r="M18" s="8"/>
      <c r="N18" s="8"/>
      <c r="O18" s="8"/>
      <c r="P18" s="8"/>
      <c r="Q18" s="8"/>
      <c r="R18" s="8"/>
      <c r="S18" s="8"/>
      <c r="T18" s="9"/>
      <c r="U18" s="10"/>
    </row>
    <row r="19" spans="2:23" s="38" customFormat="1" ht="19.5" customHeight="1" x14ac:dyDescent="0.3">
      <c r="B19" s="39"/>
      <c r="D19" s="12"/>
      <c r="E19" s="12"/>
      <c r="F19" s="12"/>
      <c r="G19" s="12"/>
      <c r="H19" s="12"/>
      <c r="I19" s="12"/>
      <c r="J19" s="12"/>
      <c r="K19" s="12"/>
      <c r="L19" s="12"/>
      <c r="M19" s="8"/>
      <c r="N19" s="8"/>
      <c r="O19" s="8"/>
      <c r="P19" s="8"/>
      <c r="Q19" s="8"/>
      <c r="R19" s="8"/>
      <c r="S19" s="8"/>
      <c r="T19" s="9"/>
      <c r="U19" s="10"/>
    </row>
    <row r="20" spans="2:23" s="38" customFormat="1" ht="19.5" customHeight="1" x14ac:dyDescent="0.3">
      <c r="B20" s="13"/>
      <c r="D20" s="12"/>
      <c r="E20" s="12"/>
      <c r="F20" s="12"/>
      <c r="G20" s="12"/>
      <c r="H20" s="12"/>
      <c r="I20" s="12"/>
      <c r="J20" s="12"/>
      <c r="K20" s="12"/>
      <c r="L20" s="12"/>
      <c r="M20" s="8"/>
      <c r="O20" s="8"/>
      <c r="P20" s="8"/>
      <c r="Q20" s="8"/>
      <c r="R20" s="8"/>
      <c r="S20" s="8"/>
      <c r="T20" s="9"/>
      <c r="U20" s="10"/>
    </row>
    <row r="21" spans="2:23" s="38" customFormat="1" ht="19.5" customHeight="1" x14ac:dyDescent="0.3">
      <c r="B21" s="13"/>
      <c r="D21" s="12"/>
      <c r="E21" s="12"/>
      <c r="F21" s="12"/>
      <c r="G21" s="12"/>
      <c r="H21" s="12"/>
      <c r="I21" s="12"/>
      <c r="J21" s="12"/>
      <c r="K21" s="12"/>
      <c r="L21" s="12"/>
      <c r="M21" s="8"/>
      <c r="N21" s="8"/>
      <c r="O21" s="8"/>
      <c r="P21" s="8"/>
      <c r="Q21" s="8"/>
      <c r="R21" s="8"/>
      <c r="S21" s="8"/>
      <c r="T21" s="9"/>
      <c r="U21" s="10"/>
    </row>
    <row r="22" spans="2:23" s="38" customFormat="1" ht="19.5" customHeight="1" x14ac:dyDescent="0.3">
      <c r="B22" s="13"/>
      <c r="D22" s="12"/>
      <c r="E22" s="12"/>
      <c r="F22" s="12"/>
      <c r="G22" s="12"/>
      <c r="H22" s="12"/>
      <c r="I22" s="12"/>
      <c r="J22" s="12"/>
      <c r="K22" s="12"/>
      <c r="L22" s="12"/>
      <c r="M22" s="8"/>
      <c r="N22" s="8"/>
      <c r="O22" s="8"/>
      <c r="P22" s="8"/>
      <c r="Q22" s="8"/>
      <c r="R22" s="8"/>
      <c r="S22" s="8"/>
      <c r="T22" s="9"/>
      <c r="U22" s="10"/>
    </row>
    <row r="23" spans="2:23" s="38" customFormat="1" ht="19.5" customHeight="1" x14ac:dyDescent="0.3">
      <c r="B23" s="13"/>
      <c r="D23" s="12"/>
      <c r="E23" s="12"/>
      <c r="F23" s="12"/>
      <c r="G23" s="12"/>
      <c r="H23" s="12"/>
      <c r="I23" s="12"/>
      <c r="J23" s="12"/>
      <c r="K23" s="12"/>
      <c r="L23" s="12"/>
      <c r="M23" s="8"/>
      <c r="N23" s="8"/>
      <c r="O23" s="8"/>
      <c r="P23" s="8"/>
      <c r="Q23" s="8"/>
      <c r="R23" s="8"/>
      <c r="S23" s="8"/>
      <c r="T23" s="9"/>
      <c r="U23" s="10"/>
    </row>
    <row r="24" spans="2:23" ht="20.25" thickBot="1" x14ac:dyDescent="0.35">
      <c r="B24" s="16"/>
      <c r="C24" s="16"/>
      <c r="D24" s="61" t="s">
        <v>27</v>
      </c>
      <c r="E24" s="61"/>
      <c r="F24" s="5"/>
      <c r="G24" s="62" t="s">
        <v>35</v>
      </c>
      <c r="H24" s="62"/>
      <c r="I24" s="61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</row>
    <row r="25" spans="2:23" ht="21" customHeight="1" x14ac:dyDescent="0.3">
      <c r="B25" s="16"/>
      <c r="C25" s="16"/>
      <c r="D25" s="27" t="s">
        <v>12</v>
      </c>
      <c r="E25" s="28" t="s">
        <v>13</v>
      </c>
      <c r="G25" s="27" t="s">
        <v>17</v>
      </c>
      <c r="H25" s="28" t="s">
        <v>18</v>
      </c>
      <c r="I25" s="30" t="s">
        <v>9</v>
      </c>
    </row>
    <row r="26" spans="2:23" ht="21" customHeight="1" thickBot="1" x14ac:dyDescent="0.35">
      <c r="B26" s="17"/>
      <c r="C26" s="17"/>
      <c r="D26" s="29">
        <v>0.13219999999999998</v>
      </c>
      <c r="E26" s="41">
        <v>934.72139200000004</v>
      </c>
      <c r="G26" s="29">
        <f>G10</f>
        <v>0.13619999999999999</v>
      </c>
      <c r="H26" s="40">
        <f>H10</f>
        <v>804.43366700000001</v>
      </c>
      <c r="I26" s="31">
        <v>0.02</v>
      </c>
    </row>
    <row r="27" spans="2:23" ht="33" x14ac:dyDescent="0.3">
      <c r="B27" s="22" t="s">
        <v>10</v>
      </c>
      <c r="C27" s="15" t="s">
        <v>8</v>
      </c>
      <c r="D27" s="36" t="s">
        <v>3</v>
      </c>
      <c r="E27" s="23"/>
      <c r="F27" s="23" t="s">
        <v>4</v>
      </c>
      <c r="G27" s="23" t="s">
        <v>14</v>
      </c>
      <c r="H27" s="23" t="s">
        <v>15</v>
      </c>
      <c r="I27" s="23" t="s">
        <v>16</v>
      </c>
      <c r="J27" s="43" t="s">
        <v>20</v>
      </c>
      <c r="K27" s="43" t="s">
        <v>38</v>
      </c>
      <c r="L27" s="43" t="s">
        <v>39</v>
      </c>
      <c r="M27" s="43" t="s">
        <v>40</v>
      </c>
      <c r="N27" s="43" t="s">
        <v>41</v>
      </c>
      <c r="O27" s="43" t="s">
        <v>37</v>
      </c>
      <c r="P27" s="63" t="s">
        <v>36</v>
      </c>
      <c r="Q27" s="64"/>
      <c r="R27" s="23" t="s">
        <v>19</v>
      </c>
      <c r="V27" s="11"/>
    </row>
    <row r="28" spans="2:23" ht="19.5" customHeight="1" x14ac:dyDescent="0.3">
      <c r="B28" s="59" t="s">
        <v>24</v>
      </c>
      <c r="C28" s="2" t="s">
        <v>6</v>
      </c>
      <c r="D28" s="6">
        <f>ROUNDDOWN(D29*E26/1000,2)</f>
        <v>4313739.22</v>
      </c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">
        <f>SUM(D28:Q28)</f>
        <v>4313739.22</v>
      </c>
      <c r="V28" s="10"/>
    </row>
    <row r="29" spans="2:23" ht="19.5" customHeight="1" x14ac:dyDescent="0.3">
      <c r="B29" s="60"/>
      <c r="C29" s="25" t="s">
        <v>11</v>
      </c>
      <c r="D29" s="26">
        <v>4615000</v>
      </c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V29" s="18"/>
    </row>
    <row r="30" spans="2:23" ht="19.5" customHeight="1" x14ac:dyDescent="0.3">
      <c r="B30" s="59" t="s">
        <v>23</v>
      </c>
      <c r="C30" s="2" t="s">
        <v>7</v>
      </c>
      <c r="D30" s="6">
        <f>D28</f>
        <v>4313739.22</v>
      </c>
      <c r="E30" s="6">
        <f>ROUNDDOWN($D$31*ROUND((1+10%)^(1/2)-1,8),2)*2/2</f>
        <v>256588.12</v>
      </c>
      <c r="F30" s="6">
        <f t="shared" ref="F30:O30" si="1">ROUNDDOWN($D$31*ROUND((1+10%)^(1/2)-1,8),2)*2</f>
        <v>513176.24</v>
      </c>
      <c r="G30" s="6">
        <f t="shared" si="1"/>
        <v>513176.24</v>
      </c>
      <c r="H30" s="6">
        <f t="shared" si="1"/>
        <v>513176.24</v>
      </c>
      <c r="I30" s="6">
        <f t="shared" si="1"/>
        <v>513176.24</v>
      </c>
      <c r="J30" s="6">
        <f t="shared" si="1"/>
        <v>513176.24</v>
      </c>
      <c r="K30" s="6">
        <f t="shared" si="1"/>
        <v>513176.24</v>
      </c>
      <c r="L30" s="6">
        <f t="shared" si="1"/>
        <v>513176.24</v>
      </c>
      <c r="M30" s="6">
        <f t="shared" si="1"/>
        <v>513176.24</v>
      </c>
      <c r="N30" s="6">
        <f t="shared" si="1"/>
        <v>513176.24</v>
      </c>
      <c r="O30" s="6">
        <f t="shared" si="1"/>
        <v>513176.24</v>
      </c>
      <c r="P30" s="6">
        <f>ROUNDDOWN($D$31*ROUND((1+10%)^(1/2)-1,8),2)</f>
        <v>256588.12</v>
      </c>
      <c r="Q30" s="6">
        <f>D31</f>
        <v>5257000</v>
      </c>
      <c r="R30" s="1">
        <f>SUM(E30:Q30)</f>
        <v>10901938.640000001</v>
      </c>
      <c r="V30" s="10"/>
    </row>
    <row r="31" spans="2:23" ht="19.5" customHeight="1" x14ac:dyDescent="0.3">
      <c r="B31" s="60"/>
      <c r="C31" s="2" t="s">
        <v>11</v>
      </c>
      <c r="D31" s="1">
        <f>ROUNDDOWN(D30/(H26*(1+I26))*1000,-3)</f>
        <v>5257000</v>
      </c>
      <c r="E31" s="6" t="s">
        <v>0</v>
      </c>
      <c r="F31" s="6" t="s">
        <v>0</v>
      </c>
      <c r="G31" s="6" t="s">
        <v>0</v>
      </c>
      <c r="H31" s="6" t="s">
        <v>0</v>
      </c>
      <c r="I31" s="6" t="s">
        <v>0</v>
      </c>
      <c r="J31" s="6" t="s">
        <v>0</v>
      </c>
      <c r="K31" s="6" t="s">
        <v>0</v>
      </c>
      <c r="L31" s="6" t="s">
        <v>0</v>
      </c>
      <c r="M31" s="6" t="s">
        <v>0</v>
      </c>
      <c r="N31" s="6" t="s">
        <v>0</v>
      </c>
      <c r="O31" s="6" t="s">
        <v>0</v>
      </c>
      <c r="P31" s="6" t="s">
        <v>0</v>
      </c>
      <c r="Q31" s="6" t="s">
        <v>1</v>
      </c>
      <c r="R31" s="6"/>
      <c r="V31" s="12"/>
    </row>
    <row r="32" spans="2:23" ht="19.5" customHeight="1" thickBot="1" x14ac:dyDescent="0.35">
      <c r="D32" s="65">
        <f>D31/D29</f>
        <v>1.1391115926327193</v>
      </c>
      <c r="E32" s="7"/>
      <c r="F32" s="7"/>
      <c r="G32" s="7"/>
      <c r="H32" s="7"/>
      <c r="I32" s="7"/>
      <c r="J32" s="7"/>
      <c r="K32" s="7"/>
      <c r="L32" s="7"/>
    </row>
    <row r="33" spans="2:23" ht="19.5" customHeight="1" thickBot="1" x14ac:dyDescent="0.35">
      <c r="B33" s="13" t="s">
        <v>32</v>
      </c>
      <c r="D33" s="7"/>
      <c r="E33" s="7"/>
      <c r="F33" s="7"/>
      <c r="G33" s="7"/>
      <c r="H33" s="7"/>
      <c r="I33" s="7"/>
      <c r="J33" s="7"/>
      <c r="K33" s="7"/>
      <c r="L33" s="7"/>
      <c r="M33" s="8"/>
      <c r="N33" s="8"/>
      <c r="O33" s="8"/>
      <c r="P33" s="8"/>
      <c r="Q33" s="32"/>
      <c r="R33" s="21">
        <f>SUM(R30:R31)</f>
        <v>10901938.640000001</v>
      </c>
      <c r="W33" s="10"/>
    </row>
    <row r="34" spans="2:23" s="38" customFormat="1" ht="19.5" customHeight="1" x14ac:dyDescent="0.3">
      <c r="B34" s="13" t="s">
        <v>21</v>
      </c>
      <c r="D34" s="12"/>
      <c r="E34" s="12"/>
      <c r="F34" s="12"/>
      <c r="G34" s="12"/>
      <c r="H34" s="12"/>
      <c r="I34" s="12"/>
      <c r="J34" s="12"/>
      <c r="K34" s="12"/>
      <c r="L34" s="12"/>
      <c r="M34" s="8"/>
      <c r="N34" s="8"/>
      <c r="O34" s="8"/>
      <c r="P34" s="8"/>
      <c r="Q34" s="8"/>
      <c r="R34" s="8"/>
      <c r="S34" s="8"/>
      <c r="T34" s="9"/>
      <c r="U34" s="10"/>
    </row>
    <row r="35" spans="2:23" s="38" customFormat="1" ht="19.5" customHeight="1" x14ac:dyDescent="0.3">
      <c r="B35" s="13"/>
      <c r="D35" s="12"/>
      <c r="E35" s="12"/>
      <c r="F35" s="12"/>
      <c r="G35" s="12"/>
      <c r="H35" s="12"/>
      <c r="I35" s="12"/>
      <c r="J35" s="12"/>
      <c r="K35" s="12"/>
      <c r="L35" s="12"/>
      <c r="M35" s="8"/>
      <c r="N35" s="8"/>
      <c r="O35" s="8"/>
      <c r="P35" s="8"/>
      <c r="Q35" s="8"/>
      <c r="R35" s="8"/>
      <c r="S35" s="8"/>
      <c r="T35" s="9"/>
      <c r="U35" s="10"/>
    </row>
    <row r="36" spans="2:23" s="38" customFormat="1" ht="19.5" customHeight="1" x14ac:dyDescent="0.3">
      <c r="B36" s="13"/>
      <c r="D36" s="12"/>
      <c r="E36" s="12"/>
      <c r="F36" s="12"/>
      <c r="G36" s="12"/>
      <c r="H36" s="12"/>
      <c r="I36" s="12"/>
      <c r="J36" s="12"/>
      <c r="K36" s="12"/>
      <c r="L36" s="12"/>
      <c r="M36" s="8"/>
      <c r="N36" s="8"/>
      <c r="O36" s="8"/>
      <c r="P36" s="8"/>
      <c r="Q36" s="8"/>
      <c r="R36" s="8"/>
      <c r="S36" s="8"/>
      <c r="T36" s="9"/>
      <c r="U36" s="10"/>
    </row>
    <row r="37" spans="2:23" s="38" customFormat="1" ht="19.5" customHeight="1" x14ac:dyDescent="0.3">
      <c r="B37" s="13"/>
      <c r="D37" s="12"/>
      <c r="E37" s="12"/>
      <c r="F37" s="12"/>
      <c r="G37" s="12"/>
      <c r="H37" s="12"/>
      <c r="I37" s="12"/>
      <c r="J37" s="12"/>
      <c r="K37" s="12"/>
      <c r="L37" s="12"/>
      <c r="M37" s="8"/>
      <c r="N37" s="8"/>
      <c r="O37" s="8"/>
      <c r="P37" s="8"/>
      <c r="Q37" s="8"/>
      <c r="R37" s="8"/>
      <c r="S37" s="8"/>
      <c r="T37" s="9"/>
      <c r="U37" s="10"/>
    </row>
    <row r="38" spans="2:23" ht="20.25" thickBot="1" x14ac:dyDescent="0.35">
      <c r="B38" s="16"/>
      <c r="C38" s="16"/>
      <c r="D38" s="61" t="s">
        <v>29</v>
      </c>
      <c r="E38" s="61"/>
      <c r="F38" s="5"/>
      <c r="G38" s="62" t="s">
        <v>35</v>
      </c>
      <c r="H38" s="62"/>
      <c r="I38" s="61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</row>
    <row r="39" spans="2:23" ht="21" customHeight="1" x14ac:dyDescent="0.3">
      <c r="B39" s="16"/>
      <c r="C39" s="16"/>
      <c r="D39" s="27" t="s">
        <v>12</v>
      </c>
      <c r="E39" s="28" t="s">
        <v>13</v>
      </c>
      <c r="G39" s="27" t="s">
        <v>17</v>
      </c>
      <c r="H39" s="28" t="s">
        <v>18</v>
      </c>
      <c r="I39" s="30" t="s">
        <v>9</v>
      </c>
    </row>
    <row r="40" spans="2:23" ht="21" customHeight="1" thickBot="1" x14ac:dyDescent="0.35">
      <c r="B40" s="17"/>
      <c r="C40" s="17"/>
      <c r="D40" s="29">
        <v>0.13600000000000001</v>
      </c>
      <c r="E40" s="41">
        <v>885.43461400000001</v>
      </c>
      <c r="G40" s="29">
        <f>G10</f>
        <v>0.13619999999999999</v>
      </c>
      <c r="H40" s="40">
        <f>H10</f>
        <v>804.43366700000001</v>
      </c>
      <c r="I40" s="31">
        <f>I10</f>
        <v>1.6400000000000001E-2</v>
      </c>
    </row>
    <row r="41" spans="2:23" ht="33" x14ac:dyDescent="0.3">
      <c r="B41" s="22" t="s">
        <v>10</v>
      </c>
      <c r="C41" s="15" t="s">
        <v>8</v>
      </c>
      <c r="D41" s="42" t="s">
        <v>3</v>
      </c>
      <c r="E41" s="23" t="s">
        <v>2</v>
      </c>
      <c r="F41" s="23" t="s">
        <v>4</v>
      </c>
      <c r="G41" s="23" t="s">
        <v>14</v>
      </c>
      <c r="H41" s="23" t="s">
        <v>15</v>
      </c>
      <c r="I41" s="23" t="s">
        <v>16</v>
      </c>
      <c r="J41" s="43" t="s">
        <v>20</v>
      </c>
      <c r="K41" s="43" t="s">
        <v>38</v>
      </c>
      <c r="L41" s="43" t="s">
        <v>39</v>
      </c>
      <c r="M41" s="43" t="s">
        <v>40</v>
      </c>
      <c r="N41" s="43" t="s">
        <v>41</v>
      </c>
      <c r="O41" s="43" t="s">
        <v>37</v>
      </c>
      <c r="P41" s="63" t="s">
        <v>36</v>
      </c>
      <c r="Q41" s="64"/>
      <c r="R41" s="23" t="s">
        <v>19</v>
      </c>
      <c r="V41" s="11"/>
    </row>
    <row r="42" spans="2:23" ht="19.5" customHeight="1" x14ac:dyDescent="0.3">
      <c r="B42" s="59" t="s">
        <v>30</v>
      </c>
      <c r="C42" s="2" t="s">
        <v>6</v>
      </c>
      <c r="D42" s="6">
        <f>ROUNDDOWN(D43*E40/1000,2)</f>
        <v>88543.46</v>
      </c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">
        <f>SUM(D42:Q42)</f>
        <v>88543.46</v>
      </c>
      <c r="V42" s="10"/>
    </row>
    <row r="43" spans="2:23" ht="19.5" customHeight="1" x14ac:dyDescent="0.3">
      <c r="B43" s="60"/>
      <c r="C43" s="25" t="s">
        <v>11</v>
      </c>
      <c r="D43" s="26">
        <v>100000</v>
      </c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V43" s="18"/>
    </row>
    <row r="44" spans="2:23" ht="19.5" customHeight="1" x14ac:dyDescent="0.3">
      <c r="B44" s="59" t="s">
        <v>23</v>
      </c>
      <c r="C44" s="2" t="s">
        <v>7</v>
      </c>
      <c r="D44" s="6">
        <f>D42</f>
        <v>88543.46</v>
      </c>
      <c r="E44" s="6">
        <f>ROUNDDOWN($D$31*ROUND((1+10%)^(1/2)-1,8),2)*2/2</f>
        <v>256588.12</v>
      </c>
      <c r="F44" s="6">
        <f t="shared" ref="F44:O44" si="2">ROUNDDOWN($D$31*ROUND((1+10%)^(1/2)-1,8),2)*2</f>
        <v>513176.24</v>
      </c>
      <c r="G44" s="6">
        <f t="shared" si="2"/>
        <v>513176.24</v>
      </c>
      <c r="H44" s="6">
        <f t="shared" si="2"/>
        <v>513176.24</v>
      </c>
      <c r="I44" s="6">
        <f t="shared" si="2"/>
        <v>513176.24</v>
      </c>
      <c r="J44" s="6">
        <f t="shared" si="2"/>
        <v>513176.24</v>
      </c>
      <c r="K44" s="6">
        <f t="shared" si="2"/>
        <v>513176.24</v>
      </c>
      <c r="L44" s="6">
        <f t="shared" si="2"/>
        <v>513176.24</v>
      </c>
      <c r="M44" s="6">
        <f t="shared" si="2"/>
        <v>513176.24</v>
      </c>
      <c r="N44" s="6">
        <f t="shared" si="2"/>
        <v>513176.24</v>
      </c>
      <c r="O44" s="6">
        <f t="shared" si="2"/>
        <v>513176.24</v>
      </c>
      <c r="P44" s="6">
        <f>ROUNDDOWN($D$31*ROUND((1+10%)^(1/2)-1,8),2)</f>
        <v>256588.12</v>
      </c>
      <c r="Q44" s="6">
        <f>D45</f>
        <v>108000</v>
      </c>
      <c r="R44" s="1">
        <f>SUM(E44:Q44)</f>
        <v>5752938.6400000015</v>
      </c>
      <c r="V44" s="10"/>
    </row>
    <row r="45" spans="2:23" ht="19.5" customHeight="1" x14ac:dyDescent="0.3">
      <c r="B45" s="60"/>
      <c r="C45" s="2" t="s">
        <v>11</v>
      </c>
      <c r="D45" s="1">
        <f>ROUNDDOWN(D44/(H40*(1+I40))*1000,-3)</f>
        <v>108000</v>
      </c>
      <c r="E45" s="6" t="s">
        <v>0</v>
      </c>
      <c r="F45" s="6" t="s">
        <v>0</v>
      </c>
      <c r="G45" s="6" t="s">
        <v>0</v>
      </c>
      <c r="H45" s="6" t="s">
        <v>0</v>
      </c>
      <c r="I45" s="6" t="s">
        <v>0</v>
      </c>
      <c r="J45" s="6" t="s">
        <v>0</v>
      </c>
      <c r="K45" s="6" t="s">
        <v>0</v>
      </c>
      <c r="L45" s="6" t="s">
        <v>0</v>
      </c>
      <c r="M45" s="6" t="s">
        <v>0</v>
      </c>
      <c r="N45" s="6" t="s">
        <v>0</v>
      </c>
      <c r="O45" s="6" t="s">
        <v>0</v>
      </c>
      <c r="P45" s="6" t="s">
        <v>0</v>
      </c>
      <c r="Q45" s="6" t="s">
        <v>1</v>
      </c>
      <c r="R45" s="6"/>
      <c r="V45" s="12"/>
    </row>
    <row r="46" spans="2:23" ht="19.5" customHeight="1" thickBot="1" x14ac:dyDescent="0.35">
      <c r="D46" s="7"/>
      <c r="E46" s="7"/>
      <c r="F46" s="7"/>
      <c r="G46" s="7"/>
      <c r="H46" s="7"/>
      <c r="I46" s="7"/>
      <c r="J46" s="7"/>
      <c r="K46" s="7"/>
      <c r="L46" s="7"/>
    </row>
    <row r="47" spans="2:23" ht="19.5" customHeight="1" thickBot="1" x14ac:dyDescent="0.35">
      <c r="B47" s="13" t="s">
        <v>33</v>
      </c>
      <c r="D47" s="7"/>
      <c r="E47" s="7"/>
      <c r="F47" s="7"/>
      <c r="G47" s="7"/>
      <c r="H47" s="7"/>
      <c r="I47" s="7"/>
      <c r="J47" s="7"/>
      <c r="K47" s="7"/>
      <c r="L47" s="7"/>
      <c r="M47" s="8"/>
      <c r="N47" s="8"/>
      <c r="O47" s="8"/>
      <c r="P47" s="8"/>
      <c r="Q47" s="32"/>
      <c r="R47" s="21">
        <f>SUM(R44:R45)</f>
        <v>5752938.6400000015</v>
      </c>
      <c r="W47" s="10"/>
    </row>
    <row r="48" spans="2:23" s="38" customFormat="1" ht="19.5" customHeight="1" x14ac:dyDescent="0.3">
      <c r="B48" s="13" t="s">
        <v>21</v>
      </c>
      <c r="D48" s="12"/>
      <c r="E48" s="12"/>
      <c r="F48" s="12"/>
      <c r="G48" s="12"/>
      <c r="H48" s="12"/>
      <c r="I48" s="12"/>
      <c r="J48" s="12"/>
      <c r="K48" s="12"/>
      <c r="L48" s="12"/>
      <c r="M48" s="8"/>
      <c r="N48" s="8"/>
      <c r="O48" s="8"/>
      <c r="P48" s="8"/>
      <c r="Q48" s="8"/>
      <c r="R48" s="8"/>
      <c r="S48" s="8"/>
      <c r="T48" s="9"/>
      <c r="U48" s="10"/>
    </row>
  </sheetData>
  <mergeCells count="18">
    <mergeCell ref="P41:Q41"/>
    <mergeCell ref="D38:E38"/>
    <mergeCell ref="G38:I38"/>
    <mergeCell ref="B42:B43"/>
    <mergeCell ref="B44:B45"/>
    <mergeCell ref="D24:E24"/>
    <mergeCell ref="G24:I24"/>
    <mergeCell ref="P27:Q27"/>
    <mergeCell ref="B28:B29"/>
    <mergeCell ref="B30:B31"/>
    <mergeCell ref="B2:S2"/>
    <mergeCell ref="S3:T3"/>
    <mergeCell ref="B14:B15"/>
    <mergeCell ref="Q6:R6"/>
    <mergeCell ref="D8:E8"/>
    <mergeCell ref="G8:I8"/>
    <mergeCell ref="P11:Q11"/>
    <mergeCell ref="B12:B13"/>
  </mergeCells>
  <phoneticPr fontId="2" type="noConversion"/>
  <printOptions horizontalCentered="1"/>
  <pageMargins left="0.23622047244094491" right="0.23622047244094491" top="0.39370078740157483" bottom="0.15748031496062992" header="0.31496062992125984" footer="0.31496062992125984"/>
  <pageSetup paperSize="9" scale="4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workbookViewId="0">
      <selection activeCell="I6" sqref="I6"/>
    </sheetView>
  </sheetViews>
  <sheetFormatPr defaultRowHeight="16.5" x14ac:dyDescent="0.3"/>
  <cols>
    <col min="5" max="5" width="9.875" bestFit="1" customWidth="1"/>
  </cols>
  <sheetData>
    <row r="1" spans="1:17" x14ac:dyDescent="0.3">
      <c r="A1" s="45" t="s">
        <v>45</v>
      </c>
      <c r="B1" s="46" t="s">
        <v>46</v>
      </c>
      <c r="C1" s="46" t="s">
        <v>47</v>
      </c>
    </row>
    <row r="2" spans="1:17" x14ac:dyDescent="0.3">
      <c r="A2" s="47" t="s">
        <v>48</v>
      </c>
      <c r="B2" s="48">
        <v>0.13869999999999999</v>
      </c>
      <c r="C2" s="49">
        <v>802.74243899999999</v>
      </c>
      <c r="E2" s="56">
        <v>46041</v>
      </c>
    </row>
    <row r="3" spans="1:17" x14ac:dyDescent="0.3">
      <c r="A3" s="47" t="s">
        <v>49</v>
      </c>
      <c r="B3" s="48">
        <v>0.13800000000000001</v>
      </c>
      <c r="C3" s="49">
        <v>824.97951599999999</v>
      </c>
    </row>
    <row r="4" spans="1:17" x14ac:dyDescent="0.3">
      <c r="A4" s="47" t="s">
        <v>50</v>
      </c>
      <c r="B4" s="48">
        <v>0.13780000000000001</v>
      </c>
      <c r="C4" s="49">
        <v>849.90568399999995</v>
      </c>
      <c r="Q4" s="55"/>
    </row>
    <row r="5" spans="1:17" x14ac:dyDescent="0.3">
      <c r="A5" s="47" t="s">
        <v>51</v>
      </c>
      <c r="B5" s="48">
        <v>0.13639999999999999</v>
      </c>
      <c r="C5" s="49">
        <v>886.454387</v>
      </c>
    </row>
    <row r="6" spans="1:17" x14ac:dyDescent="0.3">
      <c r="A6" s="47" t="s">
        <v>52</v>
      </c>
      <c r="B6" s="48">
        <v>0.13250000000000001</v>
      </c>
      <c r="C6" s="49">
        <v>934.18495399999995</v>
      </c>
    </row>
    <row r="7" spans="1:17" x14ac:dyDescent="0.3">
      <c r="A7" s="47" t="s">
        <v>53</v>
      </c>
      <c r="B7" s="48">
        <v>0.13619999999999999</v>
      </c>
      <c r="C7" s="49">
        <v>976.29019800000003</v>
      </c>
    </row>
    <row r="8" spans="1:17" x14ac:dyDescent="0.3">
      <c r="A8" s="47"/>
      <c r="B8" s="50"/>
      <c r="C8" s="50"/>
    </row>
    <row r="9" spans="1:17" x14ac:dyDescent="0.3">
      <c r="A9" s="51" t="s">
        <v>54</v>
      </c>
      <c r="B9" s="52" t="s">
        <v>46</v>
      </c>
      <c r="C9" s="52" t="s">
        <v>47</v>
      </c>
    </row>
    <row r="10" spans="1:17" x14ac:dyDescent="0.3">
      <c r="A10" s="53"/>
      <c r="B10" s="54"/>
      <c r="C10" s="50"/>
    </row>
    <row r="11" spans="1:17" x14ac:dyDescent="0.3">
      <c r="A11" s="47" t="s">
        <v>49</v>
      </c>
      <c r="B11" s="48">
        <v>0.1394</v>
      </c>
      <c r="C11" s="49">
        <v>819.15623000000005</v>
      </c>
    </row>
    <row r="12" spans="1:17" x14ac:dyDescent="0.3">
      <c r="A12" s="47" t="s">
        <v>50</v>
      </c>
      <c r="B12" s="48">
        <v>0.13919999999999999</v>
      </c>
      <c r="C12" s="49">
        <v>844.73527000000001</v>
      </c>
    </row>
    <row r="13" spans="1:17" x14ac:dyDescent="0.3">
      <c r="A13" s="47" t="s">
        <v>51</v>
      </c>
      <c r="B13" s="48">
        <v>0.13750000000000001</v>
      </c>
      <c r="C13" s="49">
        <v>883.102667</v>
      </c>
    </row>
    <row r="14" spans="1:17" x14ac:dyDescent="0.3">
      <c r="A14" s="47" t="s">
        <v>52</v>
      </c>
      <c r="B14" s="48">
        <v>0.13370000000000001</v>
      </c>
      <c r="C14" s="49">
        <v>931.635223</v>
      </c>
    </row>
    <row r="15" spans="1:17" x14ac:dyDescent="0.3">
      <c r="A15" s="47" t="s">
        <v>53</v>
      </c>
      <c r="B15" s="48">
        <v>0.13739999999999999</v>
      </c>
      <c r="C15" s="49">
        <v>975.34599500000002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리밸런싱시뮬레이션</vt:lpstr>
      <vt:lpstr>Sheet1</vt:lpstr>
      <vt:lpstr>리밸런싱시뮬레이션!Print_Area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a</cp:lastModifiedBy>
  <cp:lastPrinted>2022-08-26T04:10:11Z</cp:lastPrinted>
  <dcterms:created xsi:type="dcterms:W3CDTF">2020-02-04T00:22:58Z</dcterms:created>
  <dcterms:modified xsi:type="dcterms:W3CDTF">2026-01-23T05:15:57Z</dcterms:modified>
</cp:coreProperties>
</file>